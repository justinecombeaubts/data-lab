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ind t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<sst xmlns="http://schemas.openxmlformats.org/spreadsheetml/2006/main" count="76" uniqueCount="58">
  <si>
    <t xml:space="preserve">Blind test DataLab : un seul fichier</t>
  </si>
  <si>
    <t xml:space="preserve">Seuil de rétention de l'outil (note minimale)</t>
  </si>
  <si>
    <t xml:space="preserve">Valeur donnée par l'équipe (retenu si note ≥ 7). À modifier si le seuil change.</t>
  </si>
  <si>
    <t xml:space="preserve">Colonnes G et H = ma décision (pré-rempli par Claude, à relire). Pour le score « après » : relance l'outil, remplace les colonnes C et D, lis le score en C18.</t>
  </si>
  <si>
    <t xml:space="preserve">Règle d'accord (à faire valider par le prof) : même décision retenu/non ; si retenu, même catégorie en plus.</t>
  </si>
  <si>
    <t xml:space="preserve">Pré-rempli par Claude (pas à l'aveugle : il avait vu les résultats de l'outil). À relire et corriger avant de présenter.</t>
  </si>
  <si>
    <t xml:space="preserve">#</t>
  </si>
  <si>
    <t xml:space="preserve">Titre</t>
  </si>
  <si>
    <t xml:space="preserve">Note outil</t>
  </si>
  <si>
    <t xml:space="preserve">Catégorie outil</t>
  </si>
  <si>
    <t xml:space="preserve">Décision outil</t>
  </si>
  <si>
    <t xml:space="preserve">Raison donnée par l'outil</t>
  </si>
  <si>
    <t xml:space="preserve">Ma décision</t>
  </si>
  <si>
    <t xml:space="preserve">Ma catégorie</t>
  </si>
  <si>
    <t xml:space="preserve">Accord</t>
  </si>
  <si>
    <t xml:space="preserve">Mon pourquoi</t>
  </si>
  <si>
    <t xml:space="preserve">Multiples vulnérabilités dans Microsoft Office (14 octobre 2026)</t>
  </si>
  <si>
    <t xml:space="preserve">hors-sujet</t>
  </si>
  <si>
    <t xml:space="preserve">Vulnérabilités Microsoft Office hors du périmètre de la stack de DataLab</t>
  </si>
  <si>
    <t xml:space="preserve">non</t>
  </si>
  <si>
    <t xml:space="preserve">Microsoft Office : hors stack DataLab.</t>
  </si>
  <si>
    <t xml:space="preserve">Multiples vulnérabilités dans Google Chrome (16 octobre 2026)</t>
  </si>
  <si>
    <t xml:space="preserve">sécurité</t>
  </si>
  <si>
    <t xml:space="preserve">Vulnérabilités de Google Chrome affectent les postes de travail mais n’impactent pas les pipelines de données de production.</t>
  </si>
  <si>
    <t xml:space="preserve">Navigateur de poste de travail, pas la prod data.</t>
  </si>
  <si>
    <t xml:space="preserve">Reconstitution d’adresses électroniques professionnelles : quels sont vos droits ?</t>
  </si>
  <si>
    <t xml:space="preserve">conformité</t>
  </si>
  <si>
    <t xml:space="preserve">Rappel des droits liés à la reconstitution d'adresses e‑mail, utile pour ajuster les procédures de collecte de contacts.</t>
  </si>
  <si>
    <t xml:space="preserve">Rappel de droits grand public, peu actionnable pour DataLab.</t>
  </si>
  <si>
    <t xml:space="preserve">Multiples vulnérabilités dans le noyau Linux d'Ubuntu (16 octobre 2026)</t>
  </si>
  <si>
    <t xml:space="preserve">Vulnérabilités critiques du noyau Linux Ubuntu, affectent directement les serveurs de production hébergeant PostgreSQL et les applications Python.</t>
  </si>
  <si>
    <t xml:space="preserve">oui</t>
  </si>
  <si>
    <t xml:space="preserve">Noyau des serveurs où tournent Python et PostgreSQL.</t>
  </si>
  <si>
    <t xml:space="preserve">Multiples vulnérabilités dans les produits Mattermost (16 octobre 2026)</t>
  </si>
  <si>
    <t xml:space="preserve">Vulnérabilités dans Mattermost, plateforme de messagerie interne potentiellement utilisée, nécessitent une mitigation rapide.</t>
  </si>
  <si>
    <t xml:space="preserve">Mattermost : pas dans la stack listée.</t>
  </si>
  <si>
    <t xml:space="preserve">Multiples vulnérabilités dans Traefik (16 octobre 2026)</t>
  </si>
  <si>
    <t xml:space="preserve">Vulnérabilités dans Traefik, reverse‑proxy souvent déployé en front‑end des services DataLab, peuvent compromettre la confidentialité et la politique de sécurité.</t>
  </si>
  <si>
    <t xml:space="preserve">Traefik : pas dans la stack listée.</t>
  </si>
  <si>
    <t xml:space="preserve">De la protection des données à la création de valeur en finance : des autorités européennes publient une étude et des bonnes pratiques</t>
  </si>
  <si>
    <t xml:space="preserve">Étude de la CNIL sur la protection des données en finance fournit des bonnes pratiques utiles pour les politiques internes de DataLab.</t>
  </si>
  <si>
    <t xml:space="preserve">Étude des autorités européennes sur la protection des données en finance : directement le métier de DataLab.</t>
  </si>
  <si>
    <t xml:space="preserve">Vulnérabilité dans PostgreSQL psqlODBC (15 octobre 2026)</t>
  </si>
  <si>
    <t xml:space="preserve">Vulnérabilité du driver psqlODBC de PostgreSQL pouvant provoquer un déni de service, impact direct sur les bases de données exploitées par DataLab.</t>
  </si>
  <si>
    <t xml:space="preserve">Faille PostgreSQL : dans la stack.</t>
  </si>
  <si>
    <t xml:space="preserve">Multiples vulnérabilités dans les produits Juniper Networks (15 octobre 2026)</t>
  </si>
  <si>
    <t xml:space="preserve">Vulnérabilités des produits Juniper Networks, non pertinentes pour la stack Python/PostgreSQL de DataLab.</t>
  </si>
  <si>
    <t xml:space="preserve">Juniper : hors stack.</t>
  </si>
  <si>
    <t xml:space="preserve">Ordre du jour de la séance plénière du 15 octobre 2026</t>
  </si>
  <si>
    <t xml:space="preserve">Ordre du jour de la CNIL sans décision ou recommandation concrète applicable à DataLab.</t>
  </si>
  <si>
    <t xml:space="preserve">Ordre du jour sans décision applicable.</t>
  </si>
  <si>
    <t xml:space="preserve">Score actuel (accords)</t>
  </si>
  <si>
    <t xml:space="preserve">sur 10</t>
  </si>
  <si>
    <t xml:space="preserve">Faux positifs (retenu par l'outil, pas par moi)</t>
  </si>
  <si>
    <t xml:space="preserve">Faux négatifs (écarté par l'outil, retenu par moi)</t>
  </si>
  <si>
    <t xml:space="preserve">Mêmes décisions, mauvaise catégorie</t>
  </si>
  <si>
    <t xml:space="preserve">Score avant réglage (figé)</t>
  </si>
  <si>
    <t xml:space="preserve">sur 10 : mesuré avant d'ajouter l'environnement Ubuntu et les règles dans profile.md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</si>
</sst>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60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9"/>
    <col collapsed="false" customWidth="true" hidden="false" outlineLevel="0" max="10" min="10" style="0" width="4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E2" s="4" t="n">
        <v>7</v>
      </c>
      <c r="F2" s="5" t="s">
        <v>2</v>
      </c>
    </row>
    <row r="3" customFormat="false" ht="15" hidden="false" customHeight="true" outlineLevel="0" collapsed="false">
      <c r="A3" s="3" t="s">
        <v>3</v>
      </c>
    </row>
    <row r="4" customFormat="false" ht="15" hidden="false" customHeight="true" outlineLevel="0" collapsed="false">
      <c r="A4" s="3" t="s">
        <v>4</v>
      </c>
    </row>
    <row r="5" customFormat="false" ht="15" hidden="false" customHeight="true" outlineLevel="0" collapsed="false">
      <c r="A5" s="6" t="s">
        <v>5</v>
      </c>
    </row>
    <row r="6" customFormat="false" ht="23.25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8" t="s">
        <v>15</v>
      </c>
    </row>
    <row r="7" customFormat="false" ht="15" hidden="false" customHeight="true" outlineLevel="0" collapsed="false">
      <c r="A7" s="9" t="n">
        <v>1</v>
      </c>
      <c r="B7" s="9" t="s">
        <v>16</v>
      </c>
      <c r="C7" s="10" t="n">
        <v>0</v>
      </c>
      <c r="D7" s="9" t="s">
        <v>17</v>
      </c>
      <c r="E7" s="9" t="str">
        <f aca="false">IF(C7&gt;=$E$2,"oui","non")</f>
        <v>non</v>
      </c>
      <c r="F7" s="9" t="s">
        <v>18</v>
      </c>
      <c r="G7" s="11" t="s">
        <v>19</v>
      </c>
      <c r="H7" s="11"/>
      <c r="I7" s="9" t="str">
        <f aca="false">IF(G7="","",IF(G7&lt;&gt;E7,"non",IF(E7="non","oui",IF(H7=D7,"oui","non"))))</f>
        <v>oui</v>
      </c>
      <c r="J7" s="9" t="s">
        <v>20</v>
      </c>
    </row>
    <row r="8" customFormat="false" ht="23.25" hidden="false" customHeight="true" outlineLevel="0" collapsed="false">
      <c r="A8" s="9" t="n">
        <v>2</v>
      </c>
      <c r="B8" s="9" t="s">
        <v>21</v>
      </c>
      <c r="C8" s="10" t="n">
        <v>5</v>
      </c>
      <c r="D8" s="9" t="s">
        <v>22</v>
      </c>
      <c r="E8" s="9" t="str">
        <f aca="false">IF(C8&gt;=$E$2,"oui","non")</f>
        <v>non</v>
      </c>
      <c r="F8" s="9" t="s">
        <v>23</v>
      </c>
      <c r="G8" s="11" t="s">
        <v>19</v>
      </c>
      <c r="H8" s="11"/>
      <c r="I8" s="9" t="str">
        <f aca="false">IF(G8="","",IF(G8&lt;&gt;E8,"non",IF(E8="non","oui",IF(H8=D8,"oui","non"))))</f>
        <v>oui</v>
      </c>
      <c r="J8" s="9" t="s">
        <v>24</v>
      </c>
    </row>
    <row r="9" customFormat="false" ht="23.25" hidden="false" customHeight="true" outlineLevel="0" collapsed="false">
      <c r="A9" s="9" t="n">
        <v>3</v>
      </c>
      <c r="B9" s="9" t="s">
        <v>25</v>
      </c>
      <c r="C9" s="10" t="n">
        <v>6</v>
      </c>
      <c r="D9" s="9" t="s">
        <v>26</v>
      </c>
      <c r="E9" s="9" t="str">
        <f aca="false">IF(C9&gt;=$E$2,"oui","non")</f>
        <v>non</v>
      </c>
      <c r="F9" s="9" t="s">
        <v>27</v>
      </c>
      <c r="G9" s="11" t="s">
        <v>19</v>
      </c>
      <c r="H9" s="11"/>
      <c r="I9" s="9" t="str">
        <f aca="false">IF(G9="","",IF(G9&lt;&gt;E9,"non",IF(E9="non","oui",IF(H9=D9,"oui","non"))))</f>
        <v>oui</v>
      </c>
      <c r="J9" s="9" t="s">
        <v>28</v>
      </c>
    </row>
    <row r="10" customFormat="false" ht="34.5" hidden="false" customHeight="true" outlineLevel="0" collapsed="false">
      <c r="A10" s="9" t="n">
        <v>4</v>
      </c>
      <c r="B10" s="9" t="s">
        <v>29</v>
      </c>
      <c r="C10" s="10" t="n">
        <v>10</v>
      </c>
      <c r="D10" s="9" t="s">
        <v>22</v>
      </c>
      <c r="E10" s="9" t="str">
        <f aca="false">IF(C10&gt;=$E$2,"oui","non")</f>
        <v>oui</v>
      </c>
      <c r="F10" s="9" t="s">
        <v>30</v>
      </c>
      <c r="G10" s="11" t="s">
        <v>31</v>
      </c>
      <c r="H10" s="11" t="s">
        <v>22</v>
      </c>
      <c r="I10" s="9" t="str">
        <f aca="false">IF(G10="","",IF(G10&lt;&gt;E10,"non",IF(E10="non","oui",IF(H10=D10,"oui","non"))))</f>
        <v>oui</v>
      </c>
      <c r="J10" s="9" t="s">
        <v>32</v>
      </c>
    </row>
    <row r="11" customFormat="false" ht="23.25" hidden="false" customHeight="true" outlineLevel="0" collapsed="false">
      <c r="A11" s="9" t="n">
        <v>5</v>
      </c>
      <c r="B11" s="9" t="s">
        <v>33</v>
      </c>
      <c r="C11" s="10" t="n">
        <v>8</v>
      </c>
      <c r="D11" s="9" t="s">
        <v>22</v>
      </c>
      <c r="E11" s="9" t="str">
        <f aca="false">IF(C11&gt;=$E$2,"oui","non")</f>
        <v>oui</v>
      </c>
      <c r="F11" s="9" t="s">
        <v>34</v>
      </c>
      <c r="G11" s="11" t="s">
        <v>19</v>
      </c>
      <c r="H11" s="11"/>
      <c r="I11" s="9" t="str">
        <f aca="false">IF(G11="","",IF(G11&lt;&gt;E11,"non",IF(E11="non","oui",IF(H11=D11,"oui","non"))))</f>
        <v>non</v>
      </c>
      <c r="J11" s="9" t="s">
        <v>35</v>
      </c>
    </row>
    <row r="12" customFormat="false" ht="34.5" hidden="false" customHeight="true" outlineLevel="0" collapsed="false">
      <c r="A12" s="9" t="n">
        <v>6</v>
      </c>
      <c r="B12" s="9" t="s">
        <v>36</v>
      </c>
      <c r="C12" s="10" t="n">
        <v>9</v>
      </c>
      <c r="D12" s="9" t="s">
        <v>22</v>
      </c>
      <c r="E12" s="9" t="str">
        <f aca="false">IF(C12&gt;=$E$2,"oui","non")</f>
        <v>oui</v>
      </c>
      <c r="F12" s="9" t="s">
        <v>37</v>
      </c>
      <c r="G12" s="11" t="s">
        <v>19</v>
      </c>
      <c r="H12" s="11"/>
      <c r="I12" s="9" t="str">
        <f aca="false">IF(G12="","",IF(G12&lt;&gt;E12,"non",IF(E12="non","oui",IF(H12=D12,"oui","non"))))</f>
        <v>non</v>
      </c>
      <c r="J12" s="9" t="s">
        <v>38</v>
      </c>
    </row>
    <row r="13" customFormat="false" ht="34.5" hidden="false" customHeight="true" outlineLevel="0" collapsed="false">
      <c r="A13" s="9" t="n">
        <v>7</v>
      </c>
      <c r="B13" s="9" t="s">
        <v>39</v>
      </c>
      <c r="C13" s="10" t="n">
        <v>5</v>
      </c>
      <c r="D13" s="9" t="s">
        <v>26</v>
      </c>
      <c r="E13" s="9" t="str">
        <f aca="false">IF(C13&gt;=$E$2,"oui","non")</f>
        <v>non</v>
      </c>
      <c r="F13" s="9" t="s">
        <v>40</v>
      </c>
      <c r="G13" s="11" t="s">
        <v>31</v>
      </c>
      <c r="H13" s="11" t="s">
        <v>26</v>
      </c>
      <c r="I13" s="9" t="str">
        <f aca="false">IF(G13="","",IF(G13&lt;&gt;E13,"non",IF(E13="non","oui",IF(H13=D13,"oui","non"))))</f>
        <v>non</v>
      </c>
      <c r="J13" s="9" t="s">
        <v>41</v>
      </c>
    </row>
    <row r="14" customFormat="false" ht="34.5" hidden="false" customHeight="true" outlineLevel="0" collapsed="false">
      <c r="A14" s="9" t="n">
        <v>8</v>
      </c>
      <c r="B14" s="9" t="s">
        <v>42</v>
      </c>
      <c r="C14" s="10" t="n">
        <v>9</v>
      </c>
      <c r="D14" s="9" t="s">
        <v>22</v>
      </c>
      <c r="E14" s="9" t="str">
        <f aca="false">IF(C14&gt;=$E$2,"oui","non")</f>
        <v>oui</v>
      </c>
      <c r="F14" s="9" t="s">
        <v>43</v>
      </c>
      <c r="G14" s="11" t="s">
        <v>31</v>
      </c>
      <c r="H14" s="11" t="s">
        <v>22</v>
      </c>
      <c r="I14" s="9" t="str">
        <f aca="false">IF(G14="","",IF(G14&lt;&gt;E14,"non",IF(E14="non","oui",IF(H14=D14,"oui","non"))))</f>
        <v>oui</v>
      </c>
      <c r="J14" s="9" t="s">
        <v>44</v>
      </c>
    </row>
    <row r="15" customFormat="false" ht="23.25" hidden="false" customHeight="true" outlineLevel="0" collapsed="false">
      <c r="A15" s="9" t="n">
        <v>9</v>
      </c>
      <c r="B15" s="9" t="s">
        <v>45</v>
      </c>
      <c r="C15" s="10" t="n">
        <v>2</v>
      </c>
      <c r="D15" s="9" t="s">
        <v>22</v>
      </c>
      <c r="E15" s="9" t="str">
        <f aca="false">IF(C15&gt;=$E$2,"oui","non")</f>
        <v>non</v>
      </c>
      <c r="F15" s="9" t="s">
        <v>46</v>
      </c>
      <c r="G15" s="11" t="s">
        <v>19</v>
      </c>
      <c r="H15" s="11"/>
      <c r="I15" s="9" t="str">
        <f aca="false">IF(G15="","",IF(G15&lt;&gt;E15,"non",IF(E15="non","oui",IF(H15=D15,"oui","non"))))</f>
        <v>oui</v>
      </c>
      <c r="J15" s="9" t="s">
        <v>47</v>
      </c>
    </row>
    <row r="16" customFormat="false" ht="23.25" hidden="false" customHeight="true" outlineLevel="0" collapsed="false">
      <c r="A16" s="9" t="n">
        <v>10</v>
      </c>
      <c r="B16" s="9" t="s">
        <v>48</v>
      </c>
      <c r="C16" s="10" t="n">
        <v>0</v>
      </c>
      <c r="D16" s="9" t="s">
        <v>17</v>
      </c>
      <c r="E16" s="9" t="str">
        <f aca="false">IF(C16&gt;=$E$2,"oui","non")</f>
        <v>non</v>
      </c>
      <c r="F16" s="9" t="s">
        <v>49</v>
      </c>
      <c r="G16" s="11" t="s">
        <v>19</v>
      </c>
      <c r="H16" s="11"/>
      <c r="I16" s="9" t="str">
        <f aca="false">IF(G16="","",IF(G16&lt;&gt;E16,"non",IF(E16="non","oui",IF(H16=D16,"oui","non"))))</f>
        <v>oui</v>
      </c>
      <c r="J16" s="9" t="s">
        <v>50</v>
      </c>
    </row>
    <row r="18" customFormat="false" ht="15" hidden="false" customHeight="true" outlineLevel="0" collapsed="false">
      <c r="B18" s="12" t="s">
        <v>51</v>
      </c>
      <c r="C18" s="12" t="n">
        <f aca="false">COUNTIF(I7:I16,"oui")</f>
        <v>7</v>
      </c>
      <c r="D18" s="3" t="s">
        <v>52</v>
      </c>
    </row>
    <row r="19" customFormat="false" ht="15" hidden="false" customHeight="true" outlineLevel="0" collapsed="false">
      <c r="B19" s="3" t="s">
        <v>53</v>
      </c>
      <c r="C19" s="3" t="n">
        <f aca="false">COUNTIFS(E7:E16,"oui",G7:G16,"non")</f>
        <v>2</v>
      </c>
    </row>
    <row r="20" customFormat="false" ht="15" hidden="false" customHeight="true" outlineLevel="0" collapsed="false">
      <c r="B20" s="3" t="s">
        <v>54</v>
      </c>
      <c r="C20" s="3" t="n">
        <f aca="false">COUNTIFS(E7:E16,"non",G7:G16,"oui")</f>
        <v>1</v>
      </c>
    </row>
    <row r="21" customFormat="false" ht="15" hidden="false" customHeight="true" outlineLevel="0" collapsed="false">
      <c r="B21" s="3" t="s">
        <v>55</v>
      </c>
      <c r="C21" s="3" t="n">
        <f aca="false">COUNTIFS(I7:I16,"non",E7:E16,"oui",G7:G16,"oui")</f>
        <v>0</v>
      </c>
    </row>
    <row r="22" customFormat="false" ht="15" hidden="false" customHeight="false" outlineLevel="0" collapsed="false">
      <c r="B22" s="13" t="s">
        <v>56</v>
      </c>
      <c r="C22" s="14" t="n">
        <v>7</v>
      </c>
      <c r="D22" s="15" t="s">
        <v>57</v>
      </c>
    </row>
  </sheetData>
  <dataValidations count="2">
    <dataValidation allowBlank="true" errorStyle="stop" operator="between" showDropDown="false" showErrorMessage="false" showInputMessage="false" sqref="G7:G16" type="list">
      <formula1>"oui,non"</formula1>
      <formula2>0</formula2>
    </dataValidation>
    <dataValidation allowBlank="true" errorStyle="stop" operator="between" showDropDown="false" showErrorMessage="false" showInputMessage="false" sqref="H7:H16" type="list">
      <formula1>"sécurité,conformité,versions"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2026-10-16T13:49:26Z</dcterms:created>
  <dc:creator>openpyxl</dc:creator>
  <dc:description/>
  <dc:language>en-US</dc:language>
  <cp:lastModifiedBy/>
  <dcterms:modified xsi:type="dcterms:W3CDTF">2026-10-16T14:00:50Z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